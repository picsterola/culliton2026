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raising" sheetId="1" state="visible" r:id="rId3"/>
    <sheet name="Summary by Lean" sheetId="2" state="visible" r:id="rId4"/>
    <sheet name="Notes &amp; Methodology" sheetId="3" state="visible" r:id="rId5"/>
  </sheets>
  <definedNames>
    <definedName function="false" hidden="true" localSheetId="0" name="_xlnm._FilterDatabase" vbProcedure="false">Fundraising!$B$5:$K$21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<sst xmlns="http://schemas.openxmlformats.org/spreadsheetml/2006/main" count="161" uniqueCount="106">
  <si>
    <t xml:space="preserve">2026 WA Supreme Court — PDC Fundraising Totals</t>
  </si>
  <si>
    <t xml:space="preserve">Ground truth as of 2026-05-19 · Source: web.pdc.wa.gov · 16 candidates across 5 ballot seats</t>
  </si>
  <si>
    <t xml:space="preserve">Pos</t>
  </si>
  <si>
    <t xml:space="preserve">Candidate</t>
  </si>
  <si>
    <t xml:space="preserve">Status</t>
  </si>
  <si>
    <t xml:space="preserve">Lean on ESSB 6346 / Culliton</t>
  </si>
  <si>
    <t xml:space="preserve">Lean Confidence</t>
  </si>
  <si>
    <t xml:space="preserve">Raised</t>
  </si>
  <si>
    <t xml:space="preserve">Spent</t>
  </si>
  <si>
    <t xml:space="preserve">Cash on Hand</t>
  </si>
  <si>
    <t xml:space="preserve">As of</t>
  </si>
  <si>
    <t xml:space="preserve">PDC Committee URL</t>
  </si>
  <si>
    <t xml:space="preserve">Colleen Melody</t>
  </si>
  <si>
    <t xml:space="preserve">Incumbent</t>
  </si>
  <si>
    <t xml:space="preserve">Scrap (clears way for income tax)</t>
  </si>
  <si>
    <t xml:space="preserve">Medium</t>
  </si>
  <si>
    <t xml:space="preserve">2026-05-07</t>
  </si>
  <si>
    <t xml:space="preserve">https://www.pdc.wa.gov/political-disclosure-reporting-data/browse-search-data/candidates/3391023</t>
  </si>
  <si>
    <t xml:space="preserve">Scott Edwards</t>
  </si>
  <si>
    <t xml:space="preserve">Keep (defeats income tax)</t>
  </si>
  <si>
    <t xml:space="preserve">Medium-High</t>
  </si>
  <si>
    <t xml:space="preserve">2026-05-11</t>
  </si>
  <si>
    <t xml:space="preserve">https://www.pdc.wa.gov/political-disclosure-reporting-data/browse-search-data/candidates/3391385</t>
  </si>
  <si>
    <t xml:space="preserve">Laura Christensen Colberg</t>
  </si>
  <si>
    <t xml:space="preserve">Unclear</t>
  </si>
  <si>
    <t xml:space="preserve">Low</t>
  </si>
  <si>
    <t xml:space="preserve">Not filed</t>
  </si>
  <si>
    <t xml:space="preserve">—</t>
  </si>
  <si>
    <t xml:space="preserve">https://www.pdc.wa.gov/political-disclosure-reporting-data/browse-search-data/candidates/3393509</t>
  </si>
  <si>
    <t xml:space="preserve">J. Michael Diaz</t>
  </si>
  <si>
    <t xml:space="preserve">Front-runner</t>
  </si>
  <si>
    <t xml:space="preserve">2026-04-30</t>
  </si>
  <si>
    <t xml:space="preserve">https://www.pdc.wa.gov/political-disclosure-reporting-data/browse-search-data/candidates/3391093</t>
  </si>
  <si>
    <t xml:space="preserve">Jaime Hawk</t>
  </si>
  <si>
    <t xml:space="preserve">https://www.pdc.wa.gov/political-disclosure-reporting-data/browse-search-data/candidates/3391607</t>
  </si>
  <si>
    <t xml:space="preserve">David Stevens</t>
  </si>
  <si>
    <t xml:space="preserve">https://www.pdc.wa.gov/political-disclosure-reporting-data/browse-search-data/candidates/3391236</t>
  </si>
  <si>
    <t xml:space="preserve">Ian Birk</t>
  </si>
  <si>
    <t xml:space="preserve">https://www.pdc.wa.gov/political-disclosure-reporting-data/browse-search-data/candidates/3391099</t>
  </si>
  <si>
    <t xml:space="preserve">Sean O'Donnell</t>
  </si>
  <si>
    <t xml:space="preserve">https://www.pdc.wa.gov/political-disclosure-reporting-data/browse-search-data/candidates/3390933</t>
  </si>
  <si>
    <t xml:space="preserve">Theo Angelis</t>
  </si>
  <si>
    <t xml:space="preserve">2026-05-12</t>
  </si>
  <si>
    <t xml:space="preserve">https://www.pdc.wa.gov/political-disclosure-reporting-data/browse-search-data/candidates/3391361</t>
  </si>
  <si>
    <t xml:space="preserve">David Larson</t>
  </si>
  <si>
    <t xml:space="preserve">High</t>
  </si>
  <si>
    <t xml:space="preserve">https://www.pdc.wa.gov/political-disclosure-reporting-data/browse-search-data/candidates/3391234</t>
  </si>
  <si>
    <t xml:space="preserve">Sharonda Amamilo</t>
  </si>
  <si>
    <t xml:space="preserve">2026-05-18</t>
  </si>
  <si>
    <t xml:space="preserve">https://www.pdc.wa.gov/political-disclosure-reporting-data/browse-search-data/candidates/3391132</t>
  </si>
  <si>
    <t xml:space="preserve">Greg Miller</t>
  </si>
  <si>
    <t xml:space="preserve">2026-05-14</t>
  </si>
  <si>
    <t xml:space="preserve">https://www.pdc.wa.gov/political-disclosure-reporting-data/browse-search-data/candidates/3394415</t>
  </si>
  <si>
    <t xml:space="preserve">Debra Stephens</t>
  </si>
  <si>
    <t xml:space="preserve">https://www.pdc.wa.gov/political-disclosure-reporting-data/browse-search-data/candidates/93052</t>
  </si>
  <si>
    <t xml:space="preserve">David Shelvey</t>
  </si>
  <si>
    <t xml:space="preserve">https://www.pdc.wa.gov/political-disclosure-reporting-data/browse-search-data/candidates/3377725</t>
  </si>
  <si>
    <t xml:space="preserve">Karim Merchant</t>
  </si>
  <si>
    <t xml:space="preserve">https://www.pdc.wa.gov/political-disclosure-reporting-data/browse-search-data/candidates/3395477</t>
  </si>
  <si>
    <t xml:space="preserve">Todd Bloom</t>
  </si>
  <si>
    <t xml:space="preserve">2026-05-08</t>
  </si>
  <si>
    <t xml:space="preserve">https://www.pdc.wa.gov/political-disclosure-reporting-data/browse-search-data/candidates/3395177</t>
  </si>
  <si>
    <t xml:space="preserve">TOTAL (filed only)</t>
  </si>
  <si>
    <t xml:space="preserve">Money by Likely Ruling on Culliton / ESSB 6346</t>
  </si>
  <si>
    <t xml:space="preserve">How candidate fundraising splits by likely vote on the income-tax precedent</t>
  </si>
  <si>
    <t xml:space="preserve">Group</t>
  </si>
  <si>
    <t xml:space="preserve"># Candidates</t>
  </si>
  <si>
    <t xml:space="preserve">Total Raised</t>
  </si>
  <si>
    <t xml:space="preserve">Total Cash on Hand</t>
  </si>
  <si>
    <t xml:space="preserve">Avg Raised</t>
  </si>
  <si>
    <t xml:space="preserve">TOTAL (all candidates)</t>
  </si>
  <si>
    <t xml:space="preserve">By Ballot Seat</t>
  </si>
  <si>
    <t xml:space="preserve">Position</t>
  </si>
  <si>
    <t xml:space="preserve">Leading Candidate by COH</t>
  </si>
  <si>
    <t xml:space="preserve">Position 1</t>
  </si>
  <si>
    <t xml:space="preserve">Position 3</t>
  </si>
  <si>
    <t xml:space="preserve">Position 4</t>
  </si>
  <si>
    <t xml:space="preserve">Position 5</t>
  </si>
  <si>
    <t xml:space="preserve">Position 7</t>
  </si>
  <si>
    <t xml:space="preserve">Notes &amp; Methodology</t>
  </si>
  <si>
    <t xml:space="preserve">Snapshot date</t>
  </si>
  <si>
    <t xml:space="preserve">2026-05-19</t>
  </si>
  <si>
    <t xml:space="preserve">Election cycle</t>
  </si>
  <si>
    <t xml:space="preserve">2026 — 5 of 9 Washington State Supreme Court seats on the November ballot</t>
  </si>
  <si>
    <t xml:space="preserve">Primary source</t>
  </si>
  <si>
    <t xml:space="preserve">Washington Public Disclosure Commission (web.pdc.wa.gov). Each candidate's individual committee summary page.</t>
  </si>
  <si>
    <t xml:space="preserve">Coverage</t>
  </si>
  <si>
    <t xml:space="preserve">16 declared candidates across Positions 1, 3, 4, 5, and 7. 11 candidates have filed reports; 5 are registered but show 'Not filed' as of the snapshot date.</t>
  </si>
  <si>
    <t xml:space="preserve">What 'Raised' means</t>
  </si>
  <si>
    <t xml:space="preserve">Cumulative cash contributions reported by the candidate's 2026 election-cycle committee. Excludes in-kind donations unless aggregated by PDC, and excludes independent expenditures made on the candidate's behalf.</t>
  </si>
  <si>
    <t xml:space="preserve">What 'Spent' means</t>
  </si>
  <si>
    <t xml:space="preserve">Cumulative expenditures by the candidate committee for the 2026 cycle.</t>
  </si>
  <si>
    <t xml:space="preserve">What 'Cash on Hand' means</t>
  </si>
  <si>
    <t xml:space="preserve">Computed as Raised − Spent. Approximates available campaign funds; actual cash on hand reported to PDC may differ slightly due to in-kind reconciliation, refunds, or pending deposits.</t>
  </si>
  <si>
    <t xml:space="preserve">Lean methodology</t>
  </si>
  <si>
    <t xml:space="preserve">Each candidate is classified by their likely vote on a future challenge to Culliton v. Chase (the 1933 ruling that blocks a state income tax). 'Scrap' = likely to strike down Culliton (clears way for income tax). 'Keep' = likely to preserve Culliton (defeats income tax). 'Unclear' = insufficient public signal.</t>
  </si>
  <si>
    <t xml:space="preserve">Confidence levels</t>
  </si>
  <si>
    <t xml:space="preserve">High / Medium-High / Medium / Low. 'High' = direct on-record statements or rulings. 'Low' = inference from coalition/endorsements/background only.</t>
  </si>
  <si>
    <t xml:space="preserve">Known limits</t>
  </si>
  <si>
    <t xml:space="preserve">1) These are CANDIDATE-committee totals only. Independent expenditures by PACs, BIAW, WEA-PAC, AFSCME, etc. are NOT included and can be larger than candidate fundraising in the final stretch. 2) Filings update on a rolling schedule (typically monthly with weekly mini-reports closer to elections), so a 'Not filed' entry may reflect timing, not absence of activity. 3) The candidate-name match between PDC and the site roster is manual; if PDC lists a name variant, see the 'Candidate' column on Fundraising for the canonical PDC name.</t>
  </si>
  <si>
    <t xml:space="preserve">Refresh procedure</t>
  </si>
  <si>
    <t xml:space="preserve">Re-run the wide_browse with the same prompt template and pdc_candidates.txt file (preserved in workspace). The output CSV regenerates and this workbook can be rebuilt by re-running the build script.</t>
  </si>
  <si>
    <t xml:space="preserve">Last refreshed by</t>
  </si>
  <si>
    <t xml:space="preserve">Computer (agent) on behalf of Viet Nguyen</t>
  </si>
  <si>
    <t xml:space="preserve">Source files retained in workspace</t>
  </si>
  <si>
    <t xml:space="preserve">/home/user/workspace/pdc_candidates.txt
/home/user/workspace/pdc_schema.json
/home/user/workspace/wide/browse_results_mpcy50ce.csv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</si>
</sst>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D2B"/>
      <name val="Calibri"/>
      <family val="0"/>
      <charset val="1"/>
    </font>
    <font>
      <i val="true"/>
      <sz val="10"/>
      <color rgb="FF6B6862"/>
      <name val="Calibri"/>
      <family val="0"/>
      <charset val="1"/>
    </font>
    <font>
      <b val="true"/>
      <sz val="11"/>
      <color rgb="FFFBF8F1"/>
      <name val="Calibri"/>
      <family val="0"/>
      <charset val="1"/>
    </font>
    <font>
      <b val="true"/>
      <sz val="11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i val="true"/>
      <sz val="11"/>
      <color rgb="FF7A7974"/>
      <name val="Calibri"/>
      <family val="0"/>
      <charset val="1"/>
    </font>
    <font>
      <sz val="11"/>
      <color rgb="FF7A7974"/>
      <name val="Calibri"/>
      <family val="0"/>
      <charset val="1"/>
    </font>
    <font>
      <b val="true"/>
      <sz val="13"/>
      <color rgb="FF1F3D2B"/>
      <name val="Calibri"/>
      <family val="0"/>
      <charset val="1"/>
    </font>
    <font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D2B"/>
        <bgColor rgb="FF333300"/>
      </patternFill>
    </fill>
    <fill>
      <patternFill patternType="solid">
        <fgColor rgb="FFF4D9B0"/>
        <bgColor rgb="FFE5E2DA"/>
      </patternFill>
    </fill>
    <fill>
      <patternFill patternType="solid">
        <fgColor rgb="FFC9DBEA"/>
        <bgColor rgb="FFD4D1CA"/>
      </patternFill>
    </fill>
    <fill>
      <patternFill patternType="solid">
        <fgColor rgb="FFE5E2DA"/>
        <bgColor rgb="FFD4D1C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 diagonalUp="false" diagonalDown="false">
      <left/>
      <right/>
      <top style="medium">
        <color rgb="FF1F3D2B"/>
      </top>
      <bottom/>
      <diagonal/>
    </border>
    <border diagonalUp="false" diagonalDown="false">
      <left/>
      <right/>
      <top/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D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BF8F1"/>
          <bgColor rgb="FF000000"/>
        </patternFill>
      </fill>
    </dxf>
    <dxf>
      <fill>
        <patternFill patternType="solid">
          <fgColor rgb="FFC9DBEA"/>
          <bgColor rgb="FF000000"/>
        </patternFill>
      </fill>
    </dxf>
    <dxf>
      <fill>
        <patternFill patternType="solid">
          <fgColor rgb="FFE5E2DA"/>
          <bgColor rgb="FF000000"/>
        </patternFill>
      </fill>
    </dxf>
    <dxf>
      <fill>
        <patternFill patternType="solid">
          <fgColor rgb="FFF4D9B0"/>
          <bgColor rgb="FF000000"/>
        </patternFill>
      </fill>
    </dxf>
    <dxf>
      <fill>
        <patternFill patternType="solid">
          <fgColor rgb="FF7A7974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BF8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D1CA"/>
      <rgbColor rgb="FF7A7974"/>
      <rgbColor rgb="FF9999FF"/>
      <rgbColor rgb="FF993366"/>
      <rgbColor rgb="FFFFFFCC"/>
      <rgbColor rgb="FFCCFFFF"/>
      <rgbColor rgb="FF660066"/>
      <rgbColor rgb="FFFF8080"/>
      <rgbColor rgb="FF0563C1"/>
      <rgbColor rgb="FFC9DB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2DA"/>
      <rgbColor rgb="FFFFFF99"/>
      <rgbColor rgb="FF99CCFF"/>
      <rgbColor rgb="FFFF99CC"/>
      <rgbColor rgb="FFCC99FF"/>
      <rgbColor rgb="FFF4D9B0"/>
      <rgbColor rgb="FF3366FF"/>
      <rgbColor rgb="FF33CCCC"/>
      <rgbColor rgb="FF99CC00"/>
      <rgbColor rgb="FFFFCC00"/>
      <rgbColor rgb="FFFF9900"/>
      <rgbColor rgb="FFFF6600"/>
      <rgbColor rgb="FF6B68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dc.wa.gov/political-disclosure-reporting-data/browse-search-data/candidates/3391023" TargetMode="External"/><Relationship Id="rId2" Type="http://schemas.openxmlformats.org/officeDocument/2006/relationships/hyperlink" Target="https://www.pdc.wa.gov/political-disclosure-reporting-data/browse-search-data/candidates/3391385" TargetMode="External"/><Relationship Id="rId3" Type="http://schemas.openxmlformats.org/officeDocument/2006/relationships/hyperlink" Target="https://www.pdc.wa.gov/political-disclosure-reporting-data/browse-search-data/candidates/3393509" TargetMode="External"/><Relationship Id="rId4" Type="http://schemas.openxmlformats.org/officeDocument/2006/relationships/hyperlink" Target="https://www.pdc.wa.gov/political-disclosure-reporting-data/browse-search-data/candidates/3391093" TargetMode="External"/><Relationship Id="rId5" Type="http://schemas.openxmlformats.org/officeDocument/2006/relationships/hyperlink" Target="https://www.pdc.wa.gov/political-disclosure-reporting-data/browse-search-data/candidates/3391607" TargetMode="External"/><Relationship Id="rId6" Type="http://schemas.openxmlformats.org/officeDocument/2006/relationships/hyperlink" Target="https://www.pdc.wa.gov/political-disclosure-reporting-data/browse-search-data/candidates/3391236" TargetMode="External"/><Relationship Id="rId7" Type="http://schemas.openxmlformats.org/officeDocument/2006/relationships/hyperlink" Target="https://www.pdc.wa.gov/political-disclosure-reporting-data/browse-search-data/candidates/3391099" TargetMode="External"/><Relationship Id="rId8" Type="http://schemas.openxmlformats.org/officeDocument/2006/relationships/hyperlink" Target="https://www.pdc.wa.gov/political-disclosure-reporting-data/browse-search-data/candidates/3390933" TargetMode="External"/><Relationship Id="rId9" Type="http://schemas.openxmlformats.org/officeDocument/2006/relationships/hyperlink" Target="https://www.pdc.wa.gov/political-disclosure-reporting-data/browse-search-data/candidates/3391361" TargetMode="External"/><Relationship Id="rId10" Type="http://schemas.openxmlformats.org/officeDocument/2006/relationships/hyperlink" Target="https://www.pdc.wa.gov/political-disclosure-reporting-data/browse-search-data/candidates/3391234" TargetMode="External"/><Relationship Id="rId11" Type="http://schemas.openxmlformats.org/officeDocument/2006/relationships/hyperlink" Target="https://www.pdc.wa.gov/political-disclosure-reporting-data/browse-search-data/candidates/3391132" TargetMode="External"/><Relationship Id="rId12" Type="http://schemas.openxmlformats.org/officeDocument/2006/relationships/hyperlink" Target="https://www.pdc.wa.gov/political-disclosure-reporting-data/browse-search-data/candidates/3394415" TargetMode="External"/><Relationship Id="rId13" Type="http://schemas.openxmlformats.org/officeDocument/2006/relationships/hyperlink" Target="https://www.pdc.wa.gov/political-disclosure-reporting-data/browse-search-data/candidates/93052" TargetMode="External"/><Relationship Id="rId14" Type="http://schemas.openxmlformats.org/officeDocument/2006/relationships/hyperlink" Target="https://www.pdc.wa.gov/political-disclosure-reporting-data/browse-search-data/candidates/3377725" TargetMode="External"/><Relationship Id="rId15" Type="http://schemas.openxmlformats.org/officeDocument/2006/relationships/hyperlink" Target="https://www.pdc.wa.gov/political-disclosure-reporting-data/browse-search-data/candidates/3395477" TargetMode="External"/><Relationship Id="rId16" Type="http://schemas.openxmlformats.org/officeDocument/2006/relationships/hyperlink" Target="https://www.pdc.wa.gov/political-disclosure-reporting-data/browse-search-data/candidates/3395177" TargetMode="External"/><Relationship Id="rId1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36"/>
    <col collapsed="false" customWidth="true" hidden="false" outlineLevel="0" max="9" min="6" style="1" width="14"/>
    <col collapsed="false" customWidth="true" hidden="false" outlineLevel="0" max="10" min="10" style="1" width="12"/>
    <col collapsed="false" customWidth="true" hidden="false" outlineLevel="0" max="11" min="11" style="1" width="48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</row>
    <row r="5" customFormat="false" ht="24" hidden="false" customHeight="true" outlineLevel="0" collapsed="false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</row>
    <row r="6" customFormat="false" ht="15" hidden="false" customHeight="true" outlineLevel="0" collapsed="false">
      <c r="B6" s="5" t="n">
        <v>1</v>
      </c>
      <c r="C6" s="6" t="s">
        <v>12</v>
      </c>
      <c r="D6" s="5" t="s">
        <v>13</v>
      </c>
      <c r="E6" s="7" t="s">
        <v>14</v>
      </c>
      <c r="F6" s="5" t="s">
        <v>15</v>
      </c>
      <c r="G6" s="8" t="n">
        <v>168517.6</v>
      </c>
      <c r="H6" s="8" t="n">
        <v>61257.92</v>
      </c>
      <c r="I6" s="9" t="n">
        <f aca="false">G6-H6</f>
        <v>107259.68</v>
      </c>
      <c r="J6" s="5" t="s">
        <v>16</v>
      </c>
      <c r="K6" s="10" t="s">
        <v>17</v>
      </c>
    </row>
    <row r="7" customFormat="false" ht="15" hidden="false" customHeight="true" outlineLevel="0" collapsed="false">
      <c r="B7" s="5" t="n">
        <v>1</v>
      </c>
      <c r="C7" s="6" t="s">
        <v>18</v>
      </c>
      <c r="D7" s="5"/>
      <c r="E7" s="11" t="s">
        <v>19</v>
      </c>
      <c r="F7" s="5" t="s">
        <v>20</v>
      </c>
      <c r="G7" s="8" t="n">
        <v>11124.34</v>
      </c>
      <c r="H7" s="8" t="n">
        <v>719.84</v>
      </c>
      <c r="I7" s="9" t="n">
        <f aca="false">G7-H7</f>
        <v>10404.5</v>
      </c>
      <c r="J7" s="5" t="s">
        <v>21</v>
      </c>
      <c r="K7" s="10" t="s">
        <v>22</v>
      </c>
    </row>
    <row r="8" customFormat="false" ht="15" hidden="false" customHeight="true" outlineLevel="0" collapsed="false">
      <c r="B8" s="5" t="n">
        <v>1</v>
      </c>
      <c r="C8" s="6" t="s">
        <v>23</v>
      </c>
      <c r="D8" s="5"/>
      <c r="E8" s="12" t="s">
        <v>24</v>
      </c>
      <c r="F8" s="5" t="s">
        <v>25</v>
      </c>
      <c r="G8" s="13" t="s">
        <v>26</v>
      </c>
      <c r="H8" s="14" t="s">
        <v>27</v>
      </c>
      <c r="I8" s="14" t="s">
        <v>27</v>
      </c>
      <c r="J8" s="5" t="s">
        <v>27</v>
      </c>
      <c r="K8" s="10" t="s">
        <v>28</v>
      </c>
    </row>
    <row r="9" customFormat="false" ht="15" hidden="false" customHeight="true" outlineLevel="0" collapsed="false">
      <c r="B9" s="5" t="n">
        <v>3</v>
      </c>
      <c r="C9" s="6" t="s">
        <v>29</v>
      </c>
      <c r="D9" s="5" t="s">
        <v>30</v>
      </c>
      <c r="E9" s="7" t="s">
        <v>14</v>
      </c>
      <c r="F9" s="5" t="s">
        <v>15</v>
      </c>
      <c r="G9" s="8" t="n">
        <v>135435.75</v>
      </c>
      <c r="H9" s="8" t="n">
        <v>27557.58</v>
      </c>
      <c r="I9" s="9" t="n">
        <f aca="false">G9-H9</f>
        <v>107878.17</v>
      </c>
      <c r="J9" s="5" t="s">
        <v>31</v>
      </c>
      <c r="K9" s="10" t="s">
        <v>32</v>
      </c>
    </row>
    <row r="10" customFormat="false" ht="15" hidden="false" customHeight="true" outlineLevel="0" collapsed="false">
      <c r="B10" s="5" t="n">
        <v>3</v>
      </c>
      <c r="C10" s="6" t="s">
        <v>33</v>
      </c>
      <c r="D10" s="5"/>
      <c r="E10" s="7" t="s">
        <v>14</v>
      </c>
      <c r="F10" s="5" t="s">
        <v>15</v>
      </c>
      <c r="G10" s="8" t="n">
        <v>102249.56</v>
      </c>
      <c r="H10" s="8" t="n">
        <v>5117.1</v>
      </c>
      <c r="I10" s="9" t="n">
        <f aca="false">G10-H10</f>
        <v>97132.46</v>
      </c>
      <c r="J10" s="5" t="s">
        <v>21</v>
      </c>
      <c r="K10" s="10" t="s">
        <v>34</v>
      </c>
    </row>
    <row r="11" customFormat="false" ht="15" hidden="false" customHeight="true" outlineLevel="0" collapsed="false">
      <c r="B11" s="5" t="n">
        <v>3</v>
      </c>
      <c r="C11" s="6" t="s">
        <v>35</v>
      </c>
      <c r="D11" s="5"/>
      <c r="E11" s="11" t="s">
        <v>19</v>
      </c>
      <c r="F11" s="5" t="s">
        <v>20</v>
      </c>
      <c r="G11" s="8" t="n">
        <v>12080.11</v>
      </c>
      <c r="H11" s="8" t="n">
        <v>2507.3</v>
      </c>
      <c r="I11" s="9" t="n">
        <f aca="false">G11-H11</f>
        <v>9572.81</v>
      </c>
      <c r="J11" s="5" t="s">
        <v>21</v>
      </c>
      <c r="K11" s="10" t="s">
        <v>36</v>
      </c>
    </row>
    <row r="12" customFormat="false" ht="15" hidden="false" customHeight="true" outlineLevel="0" collapsed="false">
      <c r="B12" s="5" t="n">
        <v>4</v>
      </c>
      <c r="C12" s="6" t="s">
        <v>37</v>
      </c>
      <c r="D12" s="5" t="s">
        <v>30</v>
      </c>
      <c r="E12" s="7" t="s">
        <v>14</v>
      </c>
      <c r="F12" s="5" t="s">
        <v>15</v>
      </c>
      <c r="G12" s="8" t="n">
        <v>269765</v>
      </c>
      <c r="H12" s="8" t="n">
        <v>39687.58</v>
      </c>
      <c r="I12" s="9" t="n">
        <f aca="false">G12-H12</f>
        <v>230077.42</v>
      </c>
      <c r="J12" s="5" t="s">
        <v>21</v>
      </c>
      <c r="K12" s="10" t="s">
        <v>38</v>
      </c>
    </row>
    <row r="13" customFormat="false" ht="15" hidden="false" customHeight="true" outlineLevel="0" collapsed="false">
      <c r="B13" s="5" t="n">
        <v>4</v>
      </c>
      <c r="C13" s="6" t="s">
        <v>39</v>
      </c>
      <c r="D13" s="5"/>
      <c r="E13" s="12" t="s">
        <v>24</v>
      </c>
      <c r="F13" s="5" t="s">
        <v>25</v>
      </c>
      <c r="G13" s="8" t="n">
        <v>167322.04</v>
      </c>
      <c r="H13" s="8" t="n">
        <v>25679.01</v>
      </c>
      <c r="I13" s="9" t="n">
        <f aca="false">G13-H13</f>
        <v>141643.03</v>
      </c>
      <c r="J13" s="5" t="s">
        <v>21</v>
      </c>
      <c r="K13" s="10" t="s">
        <v>40</v>
      </c>
    </row>
    <row r="14" customFormat="false" ht="15" hidden="false" customHeight="true" outlineLevel="0" collapsed="false">
      <c r="B14" s="5" t="n">
        <v>5</v>
      </c>
      <c r="C14" s="6" t="s">
        <v>41</v>
      </c>
      <c r="D14" s="5" t="s">
        <v>13</v>
      </c>
      <c r="E14" s="7" t="s">
        <v>14</v>
      </c>
      <c r="F14" s="5" t="s">
        <v>15</v>
      </c>
      <c r="G14" s="8" t="n">
        <v>143610.71</v>
      </c>
      <c r="H14" s="8" t="n">
        <v>19043.78</v>
      </c>
      <c r="I14" s="9" t="n">
        <f aca="false">G14-H14</f>
        <v>124566.93</v>
      </c>
      <c r="J14" s="5" t="s">
        <v>42</v>
      </c>
      <c r="K14" s="10" t="s">
        <v>43</v>
      </c>
    </row>
    <row r="15" customFormat="false" ht="15" hidden="false" customHeight="true" outlineLevel="0" collapsed="false">
      <c r="B15" s="5" t="n">
        <v>5</v>
      </c>
      <c r="C15" s="6" t="s">
        <v>44</v>
      </c>
      <c r="D15" s="5"/>
      <c r="E15" s="11" t="s">
        <v>19</v>
      </c>
      <c r="F15" s="5" t="s">
        <v>45</v>
      </c>
      <c r="G15" s="8" t="n">
        <v>138823.42</v>
      </c>
      <c r="H15" s="8" t="n">
        <v>30455.07</v>
      </c>
      <c r="I15" s="9" t="n">
        <f aca="false">G15-H15</f>
        <v>108368.35</v>
      </c>
      <c r="J15" s="5" t="s">
        <v>21</v>
      </c>
      <c r="K15" s="10" t="s">
        <v>46</v>
      </c>
    </row>
    <row r="16" customFormat="false" ht="15" hidden="false" customHeight="true" outlineLevel="0" collapsed="false">
      <c r="B16" s="5" t="n">
        <v>5</v>
      </c>
      <c r="C16" s="6" t="s">
        <v>47</v>
      </c>
      <c r="D16" s="5"/>
      <c r="E16" s="12" t="s">
        <v>24</v>
      </c>
      <c r="F16" s="5" t="s">
        <v>25</v>
      </c>
      <c r="G16" s="8" t="n">
        <v>15181.31</v>
      </c>
      <c r="H16" s="8" t="n">
        <v>960.11</v>
      </c>
      <c r="I16" s="9" t="n">
        <f aca="false">G16-H16</f>
        <v>14221.2</v>
      </c>
      <c r="J16" s="5" t="s">
        <v>48</v>
      </c>
      <c r="K16" s="10" t="s">
        <v>49</v>
      </c>
    </row>
    <row r="17" customFormat="false" ht="15" hidden="false" customHeight="true" outlineLevel="0" collapsed="false">
      <c r="B17" s="5" t="n">
        <v>5</v>
      </c>
      <c r="C17" s="6" t="s">
        <v>50</v>
      </c>
      <c r="D17" s="5"/>
      <c r="E17" s="12" t="s">
        <v>24</v>
      </c>
      <c r="F17" s="5" t="s">
        <v>25</v>
      </c>
      <c r="G17" s="13" t="s">
        <v>26</v>
      </c>
      <c r="H17" s="8" t="n">
        <v>0</v>
      </c>
      <c r="I17" s="14" t="s">
        <v>27</v>
      </c>
      <c r="J17" s="5" t="s">
        <v>51</v>
      </c>
      <c r="K17" s="10" t="s">
        <v>52</v>
      </c>
    </row>
    <row r="18" customFormat="false" ht="15" hidden="false" customHeight="true" outlineLevel="0" collapsed="false">
      <c r="B18" s="5" t="n">
        <v>7</v>
      </c>
      <c r="C18" s="6" t="s">
        <v>53</v>
      </c>
      <c r="D18" s="5" t="s">
        <v>13</v>
      </c>
      <c r="E18" s="11" t="s">
        <v>19</v>
      </c>
      <c r="F18" s="5" t="s">
        <v>45</v>
      </c>
      <c r="G18" s="8" t="n">
        <v>26513.38</v>
      </c>
      <c r="H18" s="8" t="n">
        <v>1500</v>
      </c>
      <c r="I18" s="9" t="n">
        <f aca="false">G18-H18</f>
        <v>25013.38</v>
      </c>
      <c r="J18" s="5" t="s">
        <v>31</v>
      </c>
      <c r="K18" s="10" t="s">
        <v>54</v>
      </c>
    </row>
    <row r="19" customFormat="false" ht="15" hidden="false" customHeight="true" outlineLevel="0" collapsed="false">
      <c r="B19" s="5" t="n">
        <v>7</v>
      </c>
      <c r="C19" s="6" t="s">
        <v>55</v>
      </c>
      <c r="D19" s="5"/>
      <c r="E19" s="12" t="s">
        <v>24</v>
      </c>
      <c r="F19" s="5" t="s">
        <v>25</v>
      </c>
      <c r="G19" s="13" t="s">
        <v>26</v>
      </c>
      <c r="H19" s="14" t="s">
        <v>27</v>
      </c>
      <c r="I19" s="14" t="s">
        <v>27</v>
      </c>
      <c r="J19" s="5" t="s">
        <v>27</v>
      </c>
      <c r="K19" s="10" t="s">
        <v>56</v>
      </c>
    </row>
    <row r="20" customFormat="false" ht="15" hidden="false" customHeight="true" outlineLevel="0" collapsed="false">
      <c r="B20" s="5" t="n">
        <v>7</v>
      </c>
      <c r="C20" s="6" t="s">
        <v>57</v>
      </c>
      <c r="D20" s="5"/>
      <c r="E20" s="12" t="s">
        <v>24</v>
      </c>
      <c r="F20" s="5" t="s">
        <v>25</v>
      </c>
      <c r="G20" s="13" t="s">
        <v>26</v>
      </c>
      <c r="H20" s="14" t="s">
        <v>27</v>
      </c>
      <c r="I20" s="14" t="s">
        <v>27</v>
      </c>
      <c r="J20" s="5" t="s">
        <v>27</v>
      </c>
      <c r="K20" s="10" t="s">
        <v>58</v>
      </c>
    </row>
    <row r="21" customFormat="false" ht="15" hidden="false" customHeight="true" outlineLevel="0" collapsed="false">
      <c r="B21" s="5" t="n">
        <v>7</v>
      </c>
      <c r="C21" s="6" t="s">
        <v>59</v>
      </c>
      <c r="D21" s="5"/>
      <c r="E21" s="11" t="s">
        <v>19</v>
      </c>
      <c r="F21" s="5" t="s">
        <v>45</v>
      </c>
      <c r="G21" s="13" t="s">
        <v>26</v>
      </c>
      <c r="H21" s="14" t="s">
        <v>27</v>
      </c>
      <c r="I21" s="14" t="s">
        <v>27</v>
      </c>
      <c r="J21" s="5" t="s">
        <v>60</v>
      </c>
      <c r="K21" s="10" t="s">
        <v>61</v>
      </c>
    </row>
    <row r="23" customFormat="false" ht="15" hidden="false" customHeight="true" outlineLevel="0" collapsed="false">
      <c r="C23" s="15" t="s">
        <v>62</v>
      </c>
      <c r="G23" s="16" t="n">
        <f aca="false">SUM(G6:G21)</f>
        <v>1190623.22</v>
      </c>
      <c r="H23" s="16" t="n">
        <f aca="false">SUM(H6:H21)</f>
        <v>214485.29</v>
      </c>
      <c r="I23" s="16" t="n">
        <f aca="false">SUM(I6:I21)</f>
        <v>976137.93</v>
      </c>
    </row>
  </sheetData>
  <autoFilter ref="B5:K21"/>
  <mergeCells count="2">
    <mergeCell ref="B2:K2"/>
    <mergeCell ref="B3:K3"/>
  </mergeCells>
  <hyperlinks>
    <hyperlink ref="K6" r:id="rId1" display="https://www.pdc.wa.gov/political-disclosure-reporting-data/browse-search-data/candidates/3391023"/>
    <hyperlink ref="K7" r:id="rId2" display="https://www.pdc.wa.gov/political-disclosure-reporting-data/browse-search-data/candidates/3391385"/>
    <hyperlink ref="K8" r:id="rId3" display="https://www.pdc.wa.gov/political-disclosure-reporting-data/browse-search-data/candidates/3393509"/>
    <hyperlink ref="K9" r:id="rId4" display="https://www.pdc.wa.gov/political-disclosure-reporting-data/browse-search-data/candidates/3391093"/>
    <hyperlink ref="K10" r:id="rId5" display="https://www.pdc.wa.gov/political-disclosure-reporting-data/browse-search-data/candidates/3391607"/>
    <hyperlink ref="K11" r:id="rId6" display="https://www.pdc.wa.gov/political-disclosure-reporting-data/browse-search-data/candidates/3391236"/>
    <hyperlink ref="K12" r:id="rId7" display="https://www.pdc.wa.gov/political-disclosure-reporting-data/browse-search-data/candidates/3391099"/>
    <hyperlink ref="K13" r:id="rId8" display="https://www.pdc.wa.gov/political-disclosure-reporting-data/browse-search-data/candidates/3390933"/>
    <hyperlink ref="K14" r:id="rId9" display="https://www.pdc.wa.gov/political-disclosure-reporting-data/browse-search-data/candidates/3391361"/>
    <hyperlink ref="K15" r:id="rId10" display="https://www.pdc.wa.gov/political-disclosure-reporting-data/browse-search-data/candidates/3391234"/>
    <hyperlink ref="K16" r:id="rId11" display="https://www.pdc.wa.gov/political-disclosure-reporting-data/browse-search-data/candidates/3391132"/>
    <hyperlink ref="K17" r:id="rId12" display="https://www.pdc.wa.gov/political-disclosure-reporting-data/browse-search-data/candidates/3394415"/>
    <hyperlink ref="K18" r:id="rId13" display="https://www.pdc.wa.gov/political-disclosure-reporting-data/browse-search-data/candidates/93052"/>
    <hyperlink ref="K19" r:id="rId14" display="https://www.pdc.wa.gov/political-disclosure-reporting-data/browse-search-data/candidates/3377725"/>
    <hyperlink ref="K20" r:id="rId15" display="https://www.pdc.wa.gov/political-disclosure-reporting-data/browse-search-data/candidates/3395477"/>
    <hyperlink ref="K21" r:id="rId16" display="https://www.pdc.wa.gov/political-disclosure-reporting-data/browse-search-data/candidates/339517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4"/>
    <col collapsed="false" customWidth="true" hidden="false" outlineLevel="0" max="6" min="4" style="1" width="16"/>
  </cols>
  <sheetData>
    <row r="2" customFormat="false" ht="19.5" hidden="false" customHeight="true" outlineLevel="0" collapsed="false">
      <c r="B2" s="2" t="s">
        <v>63</v>
      </c>
      <c r="C2" s="2"/>
      <c r="D2" s="2"/>
      <c r="E2" s="2"/>
      <c r="F2" s="2"/>
    </row>
    <row r="3" customFormat="false" ht="15" hidden="false" customHeight="true" outlineLevel="0" collapsed="false">
      <c r="B3" s="3" t="s">
        <v>64</v>
      </c>
      <c r="C3" s="3"/>
      <c r="D3" s="3"/>
      <c r="E3" s="3"/>
      <c r="F3" s="3"/>
    </row>
    <row r="5" customFormat="false" ht="24" hidden="false" customHeight="true" outlineLevel="0" collapsed="false"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</row>
    <row r="6" customFormat="false" ht="15" hidden="false" customHeight="true" outlineLevel="0" collapsed="false">
      <c r="B6" s="17" t="s">
        <v>14</v>
      </c>
      <c r="C6" s="18" t="n">
        <f aca="false">COUNTIF(Fundraising!E6:E21,"Scrap*")</f>
        <v>5</v>
      </c>
      <c r="D6" s="19" t="n">
        <f aca="false">SUMIFS(Fundraising!G6:G21,Fundraising!E6:E21,"Scrap*")</f>
        <v>819578.62</v>
      </c>
      <c r="E6" s="19" t="n">
        <f aca="false">SUMIFS(Fundraising!I6:I21,Fundraising!E6:E21,"Scrap*")</f>
        <v>666914.66</v>
      </c>
      <c r="F6" s="19" t="n">
        <f aca="false">IFERROR(D6/COUNTIFS(Fundraising!E6:E21,"Scrap*",Fundraising!G6:G21,"&gt;0"),"—")</f>
        <v>163915.724</v>
      </c>
    </row>
    <row r="7" customFormat="false" ht="15" hidden="false" customHeight="true" outlineLevel="0" collapsed="false">
      <c r="B7" s="20" t="s">
        <v>19</v>
      </c>
      <c r="C7" s="18" t="n">
        <f aca="false">COUNTIF(Fundraising!E6:E21,"Keep*")</f>
        <v>5</v>
      </c>
      <c r="D7" s="19" t="n">
        <f aca="false">SUMIFS(Fundraising!G6:G21,Fundraising!E6:E21,"Keep*")</f>
        <v>188541.25</v>
      </c>
      <c r="E7" s="19" t="n">
        <f aca="false">SUMIFS(Fundraising!I6:I21,Fundraising!E6:E21,"Keep*")</f>
        <v>153359.04</v>
      </c>
      <c r="F7" s="19" t="n">
        <f aca="false">IFERROR(D7/COUNTIFS(Fundraising!E6:E21,"Keep*",Fundraising!G6:G21,"&gt;0"),"—")</f>
        <v>47135.3125</v>
      </c>
    </row>
    <row r="8" customFormat="false" ht="15" hidden="false" customHeight="true" outlineLevel="0" collapsed="false">
      <c r="B8" s="21" t="s">
        <v>24</v>
      </c>
      <c r="C8" s="18" t="n">
        <f aca="false">COUNTIF(Fundraising!E6:E21,"Unclear*")</f>
        <v>6</v>
      </c>
      <c r="D8" s="19" t="n">
        <f aca="false">SUMIFS(Fundraising!G6:G21,Fundraising!E6:E21,"Unclear*")</f>
        <v>182503.35</v>
      </c>
      <c r="E8" s="19" t="n">
        <f aca="false">SUMIFS(Fundraising!I6:I21,Fundraising!E6:E21,"Unclear*")</f>
        <v>155864.23</v>
      </c>
      <c r="F8" s="19" t="n">
        <f aca="false">IFERROR(D8/COUNTIFS(Fundraising!E6:E21,"Unclear*",Fundraising!G6:G21,"&gt;0"),"—")</f>
        <v>91251.675</v>
      </c>
    </row>
    <row r="10" customFormat="false" ht="15" hidden="false" customHeight="true" outlineLevel="0" collapsed="false">
      <c r="B10" s="22" t="s">
        <v>70</v>
      </c>
      <c r="C10" s="23" t="n">
        <f aca="false">COUNTA(Fundraising!C6:C21)</f>
        <v>16</v>
      </c>
      <c r="D10" s="24" t="n">
        <f aca="false">SUM(Fundraising!G6:G21)</f>
        <v>1190623.22</v>
      </c>
      <c r="E10" s="24" t="n">
        <f aca="false">SUM(Fundraising!I6:I21)</f>
        <v>976137.93</v>
      </c>
      <c r="F10" s="24" t="n">
        <f aca="false">IFERROR(D10/COUNTIF(Fundraising!G6:G21,"&gt;0"),"—")</f>
        <v>108238.474545455</v>
      </c>
    </row>
    <row r="13" customFormat="false" ht="15.75" hidden="false" customHeight="true" outlineLevel="0" collapsed="false">
      <c r="B13" s="25" t="s">
        <v>71</v>
      </c>
    </row>
    <row r="14" customFormat="false" ht="24" hidden="false" customHeight="true" outlineLevel="0" collapsed="false">
      <c r="B14" s="4" t="s">
        <v>72</v>
      </c>
      <c r="C14" s="4" t="s">
        <v>66</v>
      </c>
      <c r="D14" s="4" t="s">
        <v>67</v>
      </c>
      <c r="E14" s="4" t="s">
        <v>68</v>
      </c>
      <c r="F14" s="4" t="s">
        <v>73</v>
      </c>
    </row>
    <row r="15" customFormat="false" ht="15" hidden="false" customHeight="true" outlineLevel="0" collapsed="false">
      <c r="B15" s="18" t="s">
        <v>74</v>
      </c>
      <c r="C15" s="18" t="n">
        <f aca="false">COUNTIF(Fundraising!B6:B21,1)</f>
        <v>3</v>
      </c>
      <c r="D15" s="19" t="n">
        <f aca="false">SUMIFS(Fundraising!G6:G21,Fundraising!B6:B21,1)</f>
        <v>179641.94</v>
      </c>
      <c r="E15" s="19" t="n">
        <f aca="false">SUMIFS(Fundraising!I6:I21,Fundraising!B6:B21,1)</f>
        <v>117664.18</v>
      </c>
      <c r="F15" s="26" t="str">
        <f aca="false">IFERROR(INDEX(Fundraising!C6:C21,MATCH(maxifs(Fundraising!I6:I21,Fundraising!B6:B21,1),IF(Fundraising!B6:B21=1,Fundraising!I6:I21),0)),"—")</f>
        <v>—</v>
      </c>
    </row>
    <row r="16" customFormat="false" ht="15" hidden="false" customHeight="true" outlineLevel="0" collapsed="false">
      <c r="B16" s="18" t="s">
        <v>75</v>
      </c>
      <c r="C16" s="18" t="n">
        <f aca="false">COUNTIF(Fundraising!B6:B21,3)</f>
        <v>3</v>
      </c>
      <c r="D16" s="19" t="n">
        <f aca="false">SUMIFS(Fundraising!G6:G21,Fundraising!B6:B21,3)</f>
        <v>249765.42</v>
      </c>
      <c r="E16" s="19" t="n">
        <f aca="false">SUMIFS(Fundraising!I6:I21,Fundraising!B6:B21,3)</f>
        <v>214583.44</v>
      </c>
      <c r="F16" s="26" t="str">
        <f aca="false">IFERROR(INDEX(Fundraising!C6:C21,MATCH(maxifs(Fundraising!I6:I21,Fundraising!B6:B21,3),IF(Fundraising!B6:B21=3,Fundraising!I6:I21),0)),"—")</f>
        <v>—</v>
      </c>
    </row>
    <row r="17" customFormat="false" ht="15" hidden="false" customHeight="true" outlineLevel="0" collapsed="false">
      <c r="B17" s="18" t="s">
        <v>76</v>
      </c>
      <c r="C17" s="18" t="n">
        <f aca="false">COUNTIF(Fundraising!B6:B21,4)</f>
        <v>2</v>
      </c>
      <c r="D17" s="19" t="n">
        <f aca="false">SUMIFS(Fundraising!G6:G21,Fundraising!B6:B21,4)</f>
        <v>437087.04</v>
      </c>
      <c r="E17" s="19" t="n">
        <f aca="false">SUMIFS(Fundraising!I6:I21,Fundraising!B6:B21,4)</f>
        <v>371720.45</v>
      </c>
      <c r="F17" s="26" t="str">
        <f aca="false">IFERROR(INDEX(Fundraising!C6:C21,MATCH(maxifs(Fundraising!I6:I21,Fundraising!B6:B21,4),IF(Fundraising!B6:B21=4,Fundraising!I6:I21),0)),"—")</f>
        <v>—</v>
      </c>
    </row>
    <row r="18" customFormat="false" ht="15" hidden="false" customHeight="true" outlineLevel="0" collapsed="false">
      <c r="B18" s="18" t="s">
        <v>77</v>
      </c>
      <c r="C18" s="18" t="n">
        <f aca="false">COUNTIF(Fundraising!B6:B21,5)</f>
        <v>4</v>
      </c>
      <c r="D18" s="19" t="n">
        <f aca="false">SUMIFS(Fundraising!G6:G21,Fundraising!B6:B21,5)</f>
        <v>297615.44</v>
      </c>
      <c r="E18" s="19" t="n">
        <f aca="false">SUMIFS(Fundraising!I6:I21,Fundraising!B6:B21,5)</f>
        <v>247156.48</v>
      </c>
      <c r="F18" s="26" t="str">
        <f aca="false">IFERROR(INDEX(Fundraising!C6:C21,MATCH(maxifs(Fundraising!I6:I21,Fundraising!B6:B21,5),IF(Fundraising!B6:B21=5,Fundraising!I6:I21),0)),"—")</f>
        <v>—</v>
      </c>
    </row>
    <row r="19" customFormat="false" ht="15" hidden="false" customHeight="true" outlineLevel="0" collapsed="false">
      <c r="B19" s="18" t="s">
        <v>78</v>
      </c>
      <c r="C19" s="18" t="n">
        <f aca="false">COUNTIF(Fundraising!B6:B21,7)</f>
        <v>4</v>
      </c>
      <c r="D19" s="19" t="n">
        <f aca="false">SUMIFS(Fundraising!G6:G21,Fundraising!B6:B21,7)</f>
        <v>26513.38</v>
      </c>
      <c r="E19" s="19" t="n">
        <f aca="false">SUMIFS(Fundraising!I6:I21,Fundraising!B6:B21,7)</f>
        <v>25013.38</v>
      </c>
      <c r="F19" s="26" t="str">
        <f aca="false">IFERROR(INDEX(Fundraising!C6:C21,MATCH(maxifs(Fundraising!I6:I21,Fundraising!B6:B21,7),IF(Fundraising!B6:B21=7,Fundraising!I6:I21),0)),"—")</f>
        <v>—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2" customFormat="false" ht="19.5" hidden="false" customHeight="true" outlineLevel="0" collapsed="false">
      <c r="B2" s="27" t="s">
        <v>79</v>
      </c>
    </row>
    <row r="4" customFormat="false" ht="15" hidden="false" customHeight="true" outlineLevel="0" collapsed="false">
      <c r="B4" s="28" t="s">
        <v>80</v>
      </c>
    </row>
    <row r="5" customFormat="false" ht="19.5" hidden="false" customHeight="true" outlineLevel="0" collapsed="false">
      <c r="B5" s="29" t="s">
        <v>81</v>
      </c>
    </row>
    <row r="6" customFormat="false" ht="15" hidden="false" customHeight="true" outlineLevel="0" collapsed="false">
      <c r="B6" s="28" t="s">
        <v>82</v>
      </c>
    </row>
    <row r="7" customFormat="false" ht="37.5" hidden="false" customHeight="true" outlineLevel="0" collapsed="false">
      <c r="B7" s="29" t="s">
        <v>83</v>
      </c>
    </row>
    <row r="8" customFormat="false" ht="15" hidden="false" customHeight="true" outlineLevel="0" collapsed="false">
      <c r="B8" s="28" t="s">
        <v>84</v>
      </c>
    </row>
    <row r="9" customFormat="false" ht="37.5" hidden="false" customHeight="true" outlineLevel="0" collapsed="false">
      <c r="B9" s="29" t="s">
        <v>85</v>
      </c>
    </row>
    <row r="10" customFormat="false" ht="15" hidden="false" customHeight="true" outlineLevel="0" collapsed="false">
      <c r="B10" s="28" t="s">
        <v>86</v>
      </c>
    </row>
    <row r="11" customFormat="false" ht="55.5" hidden="false" customHeight="true" outlineLevel="0" collapsed="false">
      <c r="B11" s="29" t="s">
        <v>87</v>
      </c>
    </row>
    <row r="13" customFormat="false" ht="15" hidden="false" customHeight="true" outlineLevel="0" collapsed="false">
      <c r="B13" s="28" t="s">
        <v>88</v>
      </c>
    </row>
    <row r="14" customFormat="false" ht="73.5" hidden="false" customHeight="true" outlineLevel="0" collapsed="false">
      <c r="B14" s="29" t="s">
        <v>89</v>
      </c>
    </row>
    <row r="15" customFormat="false" ht="15" hidden="false" customHeight="true" outlineLevel="0" collapsed="false">
      <c r="B15" s="28" t="s">
        <v>90</v>
      </c>
    </row>
    <row r="16" customFormat="false" ht="37.5" hidden="false" customHeight="true" outlineLevel="0" collapsed="false">
      <c r="B16" s="29" t="s">
        <v>91</v>
      </c>
    </row>
    <row r="17" customFormat="false" ht="15" hidden="false" customHeight="true" outlineLevel="0" collapsed="false">
      <c r="B17" s="28" t="s">
        <v>92</v>
      </c>
    </row>
    <row r="18" customFormat="false" ht="55.5" hidden="false" customHeight="true" outlineLevel="0" collapsed="false">
      <c r="B18" s="29" t="s">
        <v>93</v>
      </c>
    </row>
    <row r="20" customFormat="false" ht="15" hidden="false" customHeight="true" outlineLevel="0" collapsed="false">
      <c r="B20" s="28" t="s">
        <v>94</v>
      </c>
    </row>
    <row r="21" customFormat="false" ht="91.5" hidden="false" customHeight="true" outlineLevel="0" collapsed="false">
      <c r="B21" s="29" t="s">
        <v>95</v>
      </c>
    </row>
    <row r="22" customFormat="false" ht="15" hidden="false" customHeight="true" outlineLevel="0" collapsed="false">
      <c r="B22" s="28" t="s">
        <v>96</v>
      </c>
    </row>
    <row r="23" customFormat="false" ht="55.5" hidden="false" customHeight="true" outlineLevel="0" collapsed="false">
      <c r="B23" s="29" t="s">
        <v>97</v>
      </c>
    </row>
    <row r="25" customFormat="false" ht="15" hidden="false" customHeight="true" outlineLevel="0" collapsed="false">
      <c r="B25" s="28" t="s">
        <v>98</v>
      </c>
    </row>
    <row r="26" customFormat="false" ht="120" hidden="false" customHeight="true" outlineLevel="0" collapsed="false">
      <c r="B26" s="29" t="s">
        <v>99</v>
      </c>
    </row>
    <row r="28" customFormat="false" ht="15" hidden="false" customHeight="true" outlineLevel="0" collapsed="false">
      <c r="B28" s="28" t="s">
        <v>100</v>
      </c>
    </row>
    <row r="29" customFormat="false" ht="55.5" hidden="false" customHeight="true" outlineLevel="0" collapsed="false">
      <c r="B29" s="29" t="s">
        <v>101</v>
      </c>
    </row>
    <row r="31" customFormat="false" ht="15" hidden="false" customHeight="true" outlineLevel="0" collapsed="false">
      <c r="B31" s="28" t="s">
        <v>102</v>
      </c>
    </row>
    <row r="32" customFormat="false" ht="19.5" hidden="false" customHeight="true" outlineLevel="0" collapsed="false">
      <c r="B32" s="29" t="s">
        <v>103</v>
      </c>
    </row>
    <row r="33" customFormat="false" ht="15" hidden="false" customHeight="true" outlineLevel="0" collapsed="false">
      <c r="B33" s="28" t="s">
        <v>104</v>
      </c>
    </row>
    <row r="34" customFormat="false" ht="37.5" hidden="false" customHeight="true" outlineLevel="0" collapsed="false">
      <c r="B34" s="29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2026-05-19T18:12:25Z</dcterms:created>
  <dc:creator>openpyxl</dc:creator>
  <dc:description/>
  <dc:language>en-US</dc:language>
  <cp:lastModifiedBy/>
  <dcterms:modified xsi:type="dcterms:W3CDTF">2026-05-19T18:13:37Z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